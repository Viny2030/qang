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ciones" sheetId="1" state="visible" r:id="rId3"/>
    <sheet name="Precision" sheetId="2" state="visible" r:id="rId4"/>
    <sheet name="Dispa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<sst xmlns="http://schemas.openxmlformats.org/spreadsheetml/2006/main" count="53" uniqueCount="51">
  <si>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§77 — Entrenamiento con ruido vs filtro qg: predicciones pre-registradas (commit 1450374)</t>
  </si>
  <si>
    <t xml:space="preserve">Pred.</t>
  </si>
  <si>
    <t xml:space="preserve">Enunciado</t>
  </si>
  <si>
    <t xml:space="preserve">Medido</t>
  </si>
  <si>
    <t xml:space="preserve">Referencia</t>
  </si>
  <si>
    <t xml:space="preserve">Umbral</t>
  </si>
  <si>
    <t xml:space="preserve">Resultado</t>
  </si>
  <si>
    <t xml:space="preserve">R1</t>
  </si>
  <si>
    <t xml:space="preserve">F3: E entrenada con T1+filtro = E sin ruido (máx. dif. de parámetros, y misma precisión)</t>
  </si>
  <si>
    <t xml:space="preserve">máx. sobre datasets</t>
  </si>
  <si>
    <t xml:space="preserve">R2</t>
  </si>
  <si>
    <t xml:space="preserve">A entrenada con ruido ≥ A entrenada sin ruido (bajo T1)</t>
  </si>
  <si>
    <t xml:space="preserve">Medido ≥ Ref.</t>
  </si>
  <si>
    <t xml:space="preserve">R3</t>
  </si>
  <si>
    <t xml:space="preserve">E + filtro ≥ A con ruido y ≥ E con ruido sin filtro</t>
  </si>
  <si>
    <t xml:space="preserve">R4</t>
  </si>
  <si>
    <t xml:space="preserve">200 disparos: E + filtro ≥ A con ruido − 1 punto</t>
  </si>
  <si>
    <t xml:space="preserve">Hallazgos</t>
  </si>
  <si>
    <t xml:space="preserve">• F3 confirmado: con el filtro, el problema de entrenamiento bajo T1 es el mismo que sin ruido.</t>
  </si>
  <si>
    <t xml:space="preserve">• La QNN estándar colapsa bajo T1 si no se entrena con ruido; entrenada con ruido recupera toda la precisión.</t>
  </si>
  <si>
    <t xml:space="preserve">• El filtro no gana en precisión (margen &lt; 1 muestra de prueba): gana en procedimiento, sin modelo de ruido ni entrenamiento ruidoso.</t>
  </si>
  <si>
    <t xml:space="preserve">• No previsto: fracción conservada = (1 − γ)^profundidad exacta (hoja Disparos).</t>
  </si>
  <si>
    <t xml:space="preserve">• Sin ventaja cuántica: E es simulable clásicamente (§76 F2).</t>
  </si>
  <si>
    <t xml:space="preserve">§77 — Precisión media de prueba bajo T1 (γ = 0.08), semilla 77, 5 particiones, 120 épocas</t>
  </si>
  <si>
    <t xml:space="preserve">Modelo</t>
  </si>
  <si>
    <t xml:space="preserve">iris</t>
  </si>
  <si>
    <t xml:space="preserve">cancer</t>
  </si>
  <si>
    <t xml:space="preserve">wine</t>
  </si>
  <si>
    <t xml:space="preserve">digits</t>
  </si>
  <si>
    <t xml:space="preserve">Media</t>
  </si>
  <si>
    <t xml:space="preserve">A exacta (sin ruido)</t>
  </si>
  <si>
    <t xml:space="preserve">A entrenada sin ruido, eval. T1</t>
  </si>
  <si>
    <t xml:space="preserve">A entrenada con ruido, eval. T1</t>
  </si>
  <si>
    <t xml:space="preserve">E exacta (sin ruido)</t>
  </si>
  <si>
    <t xml:space="preserve">E entrenada sin ruido, eval. T1</t>
  </si>
  <si>
    <t xml:space="preserve">E entrenada con ruido, sin filtro</t>
  </si>
  <si>
    <t xml:space="preserve">E + filtro qg, entrenada sin ruido</t>
  </si>
  <si>
    <t xml:space="preserve">E + filtro qg, entrenada con ruido</t>
  </si>
  <si>
    <t xml:space="preserve">A con ruido, 200 disparos</t>
  </si>
  <si>
    <t xml:space="preserve">E + filtro, 200 disparos</t>
  </si>
  <si>
    <t xml:space="preserve">Fuente: salida de examples/qnn_noise_aware_qg.py (commit 1b7febc). Azul = resultados de la corrida; negro = fórmulas.</t>
  </si>
  <si>
    <t xml:space="preserve">Costo del filtro: fracción de disparos conservados = (1 − γ)^profundidad</t>
  </si>
  <si>
    <t xml:space="preserve">γ (amortiguamiento T1 por qubit y subcapa)</t>
  </si>
  <si>
    <t xml:space="preserve">Profundidad (subcapas)</t>
  </si>
  <si>
    <t xml:space="preserve">Fracción conservada (teórica)</t>
  </si>
  <si>
    <t xml:space="preserve">Fracción descartada</t>
  </si>
  <si>
    <t xml:space="preserve">Fracción conservada medida (todas las particiones)</t>
  </si>
  <si>
    <t xml:space="preserve">Diferencia teórica − medida</t>
  </si>
  <si>
    <t xml:space="preserve">Disparos por muestra</t>
  </si>
  <si>
    <t xml:space="preserve">Disparos útiles esperados tras el filtro</t>
  </si>
  <si>
    <t xml:space="preserve">Celdas amarillas: entradas editables (γ calibrado, profundidad, disparos).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</si>
</sst>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E+00"/>
    <numFmt numFmtId="166" formatCode="0.000"/>
    <numFmt numFmtId="167" formatCode="0"/>
    <numFmt numFmtId="168" formatCode="0.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6" min="3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6.85" hidden="false" customHeight="false" outlineLevel="0" collapsed="false">
      <c r="A4" s="3" t="s">
        <v>7</v>
      </c>
      <c r="B4" s="3" t="s">
        <v>8</v>
      </c>
      <c r="C4" s="4" t="n">
        <v>5.19931120379624E-009</v>
      </c>
      <c r="D4" s="3" t="s">
        <v>9</v>
      </c>
      <c r="E4" s="4" t="n">
        <v>1E-006</v>
      </c>
      <c r="F4" s="5" t="str">
        <f aca="false">IF(AND(C4&lt;E4,Precision!F10=Precision!F11),"PASA","FALLA")</f>
        <v>PASA</v>
      </c>
    </row>
    <row r="5" customFormat="false" ht="15" hidden="false" customHeight="false" outlineLevel="0" collapsed="false">
      <c r="A5" s="3" t="s">
        <v>10</v>
      </c>
      <c r="B5" s="3" t="s">
        <v>11</v>
      </c>
      <c r="C5" s="6" t="n">
        <f aca="false">Precision!F6</f>
        <v>0.944294871794872</v>
      </c>
      <c r="D5" s="6" t="n">
        <f aca="false">Precision!F5</f>
        <v>0.770705128205128</v>
      </c>
      <c r="E5" s="3" t="s">
        <v>12</v>
      </c>
      <c r="F5" s="5" t="str">
        <f aca="false">IF(C5&gt;=D5,"PASA","FALLA")</f>
        <v>PASA</v>
      </c>
    </row>
    <row r="6" customFormat="false" ht="15" hidden="false" customHeight="false" outlineLevel="0" collapsed="false">
      <c r="A6" s="3" t="s">
        <v>13</v>
      </c>
      <c r="B6" s="3" t="s">
        <v>14</v>
      </c>
      <c r="C6" s="6" t="n">
        <f aca="false">Precision!F10</f>
        <v>0.948782051282051</v>
      </c>
      <c r="D6" s="6" t="n">
        <f aca="false">MAX(Precision!F6,Precision!F9)</f>
        <v>0.947115384615385</v>
      </c>
      <c r="E6" s="3" t="s">
        <v>12</v>
      </c>
      <c r="F6" s="5" t="str">
        <f aca="false">IF(C6&gt;=D6,"PASA","FALLA")</f>
        <v>PASA</v>
      </c>
    </row>
    <row r="7" customFormat="false" ht="15" hidden="false" customHeight="false" outlineLevel="0" collapsed="false">
      <c r="A7" s="3" t="s">
        <v>15</v>
      </c>
      <c r="B7" s="3" t="s">
        <v>16</v>
      </c>
      <c r="C7" s="6" t="n">
        <f aca="false">Precision!F13</f>
        <v>0.9425</v>
      </c>
      <c r="D7" s="6" t="n">
        <f aca="false">Precision!F12-0.01</f>
        <v>0.926730769230769</v>
      </c>
      <c r="E7" s="3" t="s">
        <v>12</v>
      </c>
      <c r="F7" s="5" t="str">
        <f aca="false">IF(C7&gt;=D7,"PASA","FALLA")</f>
        <v>PASA</v>
      </c>
    </row>
    <row r="9" customFormat="false" ht="15" hidden="false" customHeight="false" outlineLevel="0" collapsed="false">
      <c r="A9" s="7" t="s">
        <v>17</v>
      </c>
    </row>
    <row r="10" customFormat="false" ht="15" hidden="false" customHeight="false" outlineLevel="0" collapsed="false">
      <c r="A10" s="8" t="s">
        <v>18</v>
      </c>
    </row>
    <row r="11" customFormat="false" ht="15" hidden="false" customHeight="false" outlineLevel="0" collapsed="false">
      <c r="A11" s="8" t="s">
        <v>19</v>
      </c>
    </row>
    <row r="12" customFormat="false" ht="15" hidden="false" customHeight="false" outlineLevel="0" collapsed="false">
      <c r="A12" s="8" t="s">
        <v>20</v>
      </c>
    </row>
    <row r="13" customFormat="false" ht="15" hidden="false" customHeight="false" outlineLevel="0" collapsed="false">
      <c r="A13" s="8" t="s">
        <v>21</v>
      </c>
    </row>
    <row r="14" customFormat="false" ht="15" hidden="false" customHeight="false" outlineLevel="0" collapsed="false">
      <c r="A14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1"/>
  </cols>
  <sheetData>
    <row r="1" customFormat="false" ht="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</row>
    <row r="4" customFormat="false" ht="15" hidden="false" customHeight="false" outlineLevel="0" collapsed="false">
      <c r="A4" s="9" t="s">
        <v>30</v>
      </c>
      <c r="B4" s="10" t="n">
        <v>0.906666666666667</v>
      </c>
      <c r="C4" s="10" t="n">
        <v>0.943333333333333</v>
      </c>
      <c r="D4" s="10" t="n">
        <v>0.958974358974359</v>
      </c>
      <c r="E4" s="10" t="n">
        <v>0.956666666666667</v>
      </c>
      <c r="F4" s="11" t="n">
        <f aca="false">AVERAGE(B4:E4)</f>
        <v>0.941410256410256</v>
      </c>
    </row>
    <row r="5" customFormat="false" ht="15" hidden="false" customHeight="false" outlineLevel="0" collapsed="false">
      <c r="A5" s="9" t="s">
        <v>31</v>
      </c>
      <c r="B5" s="10" t="n">
        <v>0.713333333333333</v>
      </c>
      <c r="C5" s="10" t="n">
        <v>0.773333333333333</v>
      </c>
      <c r="D5" s="10" t="n">
        <v>0.77948717948718</v>
      </c>
      <c r="E5" s="10" t="n">
        <v>0.816666666666667</v>
      </c>
      <c r="F5" s="11" t="n">
        <f aca="false">AVERAGE(B5:E5)</f>
        <v>0.770705128205128</v>
      </c>
    </row>
    <row r="6" customFormat="false" ht="15" hidden="false" customHeight="false" outlineLevel="0" collapsed="false">
      <c r="A6" s="9" t="s">
        <v>32</v>
      </c>
      <c r="B6" s="10" t="n">
        <v>0.926666666666667</v>
      </c>
      <c r="C6" s="10" t="n">
        <v>0.943333333333333</v>
      </c>
      <c r="D6" s="10" t="n">
        <v>0.953846153846154</v>
      </c>
      <c r="E6" s="10" t="n">
        <v>0.953333333333333</v>
      </c>
      <c r="F6" s="11" t="n">
        <f aca="false">AVERAGE(B6:E6)</f>
        <v>0.944294871794872</v>
      </c>
    </row>
    <row r="7" customFormat="false" ht="15" hidden="false" customHeight="false" outlineLevel="0" collapsed="false">
      <c r="A7" s="9" t="s">
        <v>33</v>
      </c>
      <c r="B7" s="10" t="n">
        <v>0.94</v>
      </c>
      <c r="C7" s="10" t="n">
        <v>0.96</v>
      </c>
      <c r="D7" s="10" t="n">
        <v>0.938461538461539</v>
      </c>
      <c r="E7" s="10" t="n">
        <v>0.956666666666667</v>
      </c>
      <c r="F7" s="11" t="n">
        <f aca="false">AVERAGE(B7:E7)</f>
        <v>0.948782051282051</v>
      </c>
    </row>
    <row r="8" customFormat="false" ht="15" hidden="false" customHeight="false" outlineLevel="0" collapsed="false">
      <c r="A8" s="9" t="s">
        <v>34</v>
      </c>
      <c r="B8" s="10" t="n">
        <v>0.933333333333333</v>
      </c>
      <c r="C8" s="10" t="n">
        <v>0.956666666666667</v>
      </c>
      <c r="D8" s="10" t="n">
        <v>0.841025641025641</v>
      </c>
      <c r="E8" s="10" t="n">
        <v>0.95</v>
      </c>
      <c r="F8" s="11" t="n">
        <f aca="false">AVERAGE(B8:E8)</f>
        <v>0.92025641025641</v>
      </c>
    </row>
    <row r="9" customFormat="false" ht="15" hidden="false" customHeight="false" outlineLevel="0" collapsed="false">
      <c r="A9" s="9" t="s">
        <v>35</v>
      </c>
      <c r="B9" s="10" t="n">
        <v>0.94</v>
      </c>
      <c r="C9" s="10" t="n">
        <v>0.95</v>
      </c>
      <c r="D9" s="10" t="n">
        <v>0.938461538461539</v>
      </c>
      <c r="E9" s="10" t="n">
        <v>0.96</v>
      </c>
      <c r="F9" s="11" t="n">
        <f aca="false">AVERAGE(B9:E9)</f>
        <v>0.947115384615385</v>
      </c>
    </row>
    <row r="10" customFormat="false" ht="15" hidden="false" customHeight="false" outlineLevel="0" collapsed="false">
      <c r="A10" s="9" t="s">
        <v>36</v>
      </c>
      <c r="B10" s="10" t="n">
        <v>0.94</v>
      </c>
      <c r="C10" s="10" t="n">
        <v>0.96</v>
      </c>
      <c r="D10" s="10" t="n">
        <v>0.938461538461539</v>
      </c>
      <c r="E10" s="10" t="n">
        <v>0.956666666666667</v>
      </c>
      <c r="F10" s="11" t="n">
        <f aca="false">AVERAGE(B10:E10)</f>
        <v>0.948782051282051</v>
      </c>
    </row>
    <row r="11" customFormat="false" ht="15" hidden="false" customHeight="false" outlineLevel="0" collapsed="false">
      <c r="A11" s="9" t="s">
        <v>37</v>
      </c>
      <c r="B11" s="10" t="n">
        <v>0.94</v>
      </c>
      <c r="C11" s="10" t="n">
        <v>0.96</v>
      </c>
      <c r="D11" s="10" t="n">
        <v>0.938461538461539</v>
      </c>
      <c r="E11" s="10" t="n">
        <v>0.956666666666667</v>
      </c>
      <c r="F11" s="11" t="n">
        <f aca="false">AVERAGE(B11:E11)</f>
        <v>0.948782051282051</v>
      </c>
    </row>
    <row r="12" customFormat="false" ht="15" hidden="false" customHeight="false" outlineLevel="0" collapsed="false">
      <c r="A12" s="9" t="s">
        <v>38</v>
      </c>
      <c r="B12" s="10" t="n">
        <v>0.9</v>
      </c>
      <c r="C12" s="10" t="n">
        <v>0.94</v>
      </c>
      <c r="D12" s="10" t="n">
        <v>0.943589743589744</v>
      </c>
      <c r="E12" s="10" t="n">
        <v>0.963333333333333</v>
      </c>
      <c r="F12" s="11" t="n">
        <f aca="false">AVERAGE(B12:E12)</f>
        <v>0.936730769230769</v>
      </c>
    </row>
    <row r="13" customFormat="false" ht="15" hidden="false" customHeight="false" outlineLevel="0" collapsed="false">
      <c r="A13" s="9" t="s">
        <v>39</v>
      </c>
      <c r="B13" s="10" t="n">
        <v>0.94</v>
      </c>
      <c r="C13" s="10" t="n">
        <v>0.943333333333333</v>
      </c>
      <c r="D13" s="10" t="n">
        <v>0.933333333333333</v>
      </c>
      <c r="E13" s="10" t="n">
        <v>0.953333333333333</v>
      </c>
      <c r="F13" s="11" t="n">
        <f aca="false">AVERAGE(B13:E13)</f>
        <v>0.9425</v>
      </c>
    </row>
    <row r="15" customFormat="false" ht="15" hidden="false" customHeight="false" outlineLevel="0" collapsed="false">
      <c r="A15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41</v>
      </c>
    </row>
    <row r="3" customFormat="false" ht="15" hidden="false" customHeight="false" outlineLevel="0" collapsed="false">
      <c r="A3" s="8" t="s">
        <v>42</v>
      </c>
      <c r="B3" s="13" t="n">
        <v>0.08</v>
      </c>
    </row>
    <row r="4" customFormat="false" ht="15" hidden="false" customHeight="false" outlineLevel="0" collapsed="false">
      <c r="A4" s="8" t="s">
        <v>43</v>
      </c>
      <c r="B4" s="14" t="n">
        <v>9</v>
      </c>
    </row>
    <row r="5" customFormat="false" ht="15" hidden="false" customHeight="false" outlineLevel="0" collapsed="false">
      <c r="A5" s="8" t="s">
        <v>44</v>
      </c>
      <c r="B5" s="15" t="n">
        <f aca="false">(1-B3)^B4</f>
        <v>0.472161363286557</v>
      </c>
    </row>
    <row r="6" customFormat="false" ht="15" hidden="false" customHeight="false" outlineLevel="0" collapsed="false">
      <c r="A6" s="8" t="s">
        <v>45</v>
      </c>
      <c r="B6" s="15" t="n">
        <f aca="false">1-B5</f>
        <v>0.527838636713443</v>
      </c>
    </row>
    <row r="7" customFormat="false" ht="15" hidden="false" customHeight="false" outlineLevel="0" collapsed="false">
      <c r="A7" s="8" t="s">
        <v>46</v>
      </c>
      <c r="B7" s="16" t="n">
        <v>0.472161363286557</v>
      </c>
    </row>
    <row r="8" customFormat="false" ht="15" hidden="false" customHeight="false" outlineLevel="0" collapsed="false">
      <c r="A8" s="8" t="s">
        <v>47</v>
      </c>
      <c r="B8" s="17" t="n">
        <f aca="false">B5-B7</f>
        <v>0</v>
      </c>
    </row>
    <row r="9" customFormat="false" ht="15" hidden="false" customHeight="false" outlineLevel="0" collapsed="false">
      <c r="A9" s="8" t="s">
        <v>48</v>
      </c>
      <c r="B9" s="14" t="n">
        <v>200</v>
      </c>
    </row>
    <row r="10" customFormat="false" ht="15" hidden="false" customHeight="false" outlineLevel="0" collapsed="false">
      <c r="A10" s="8" t="s">
        <v>49</v>
      </c>
      <c r="B10" s="18" t="n">
        <f aca="false">B9*B5</f>
        <v>94.4322726573114</v>
      </c>
    </row>
    <row r="12" customFormat="false" ht="15" hidden="false" customHeight="false" outlineLevel="0" collapsed="false">
      <c r="A12" s="1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2026-10-02T15:24:01Z</dcterms:created>
  <dc:creator>openpyxl</dc:creator>
  <dc:description/>
  <dc:language>en-US</dc:language>
  <cp:lastModifiedBy/>
  <dcterms:modified xsi:type="dcterms:W3CDTF">2026-10-02T15:24:01Z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